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eac748009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cc8356dc428e4868"/>
    <x:sheet xmlns:r="http://schemas.openxmlformats.org/officeDocument/2006/relationships" name="Analysis" sheetId="2" r:id="R5d62f59b99c74941"/>
    <x:sheet xmlns:r="http://schemas.openxmlformats.org/officeDocument/2006/relationships" name="Definitions" sheetId="3" r:id="R4bd5a11b045a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20252B"/>
      <x:name val="Carlito"/>
    </x:font>
    <x:font>
      <x:b/>
      <x:sz val="11"/>
      <x:color rgb="FF4D5963"/>
      <x:name val="Carlito"/>
    </x:font>
    <x:font>
      <x:b/>
      <x:sz val="11"/>
      <x:color rgb="FF8B4B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94B68"/>
      </x:patternFill>
    </x:fill>
    <x:fill>
      <x:patternFill patternType="solid">
        <x:fgColor rgb="FFF4EFE6"/>
      </x:patternFill>
    </x:fill>
    <x:fill>
      <x:patternFill patternType="solid">
        <x:fgColor rgb="FFF8E6DA"/>
      </x:patternFill>
    </x:fill>
  </x:fills>
  <x:borders count="16">
    <x:border/>
    <x:border>
      <x:right style="thin">
        <x:color rgb="FFD7D0C4"/>
      </x:right>
      <x:bottom style="thin">
        <x:color rgb="FFD7D0C4"/>
      </x:bottom>
    </x:border>
    <x:border>
      <x:left style="thin">
        <x:color rgb="FFD7D0C4"/>
      </x:left>
      <x:right style="thin">
        <x:color rgb="FFD7D0C4"/>
      </x:right>
      <x:bottom style="thin">
        <x:color rgb="FFD7D0C4"/>
      </x:bottom>
    </x:border>
    <x:border>
      <x:left style="thin">
        <x:color rgb="FFD7D0C4"/>
      </x:left>
      <x:bottom style="thin">
        <x:color rgb="FFD7D0C4"/>
      </x:bottom>
    </x:border>
    <x:border>
      <x:right style="thin">
        <x:color rgb="FFD7D0C4"/>
      </x:right>
      <x:top style="thin">
        <x:color rgb="FFD7D0C4"/>
      </x:top>
    </x:border>
    <x:border>
      <x:left style="thin">
        <x:color rgb="FFD7D0C4"/>
      </x:left>
      <x:right style="thin">
        <x:color rgb="FFD7D0C4"/>
      </x:right>
      <x:top style="thin">
        <x:color rgb="FFD7D0C4"/>
      </x:top>
    </x:border>
    <x:border>
      <x:left style="thin">
        <x:color rgb="FFD7D0C4"/>
      </x:left>
      <x:top style="thin">
        <x:color rgb="FFD7D0C4"/>
      </x:top>
    </x:border>
    <x:border>
      <x:left style="thin">
        <x:color rgb="FFB7B1A8"/>
      </x:left>
      <x:top style="thin">
        <x:color rgb="FFB7B1A8"/>
      </x:top>
    </x:border>
    <x:border>
      <x:right style="thin">
        <x:color rgb="FFB7B1A8"/>
      </x:right>
      <x:top style="thin">
        <x:color rgb="FFB7B1A8"/>
      </x:top>
    </x:border>
    <x:border>
      <x:left style="thin">
        <x:color rgb="FFB7B1A8"/>
      </x:left>
    </x:border>
    <x:border>
      <x:right style="thin">
        <x:color rgb="FFB7B1A8"/>
      </x:right>
    </x:border>
    <x:border>
      <x:left style="thin">
        <x:color rgb="FFB7B1A8"/>
      </x:left>
      <x:bottom style="thin">
        <x:color rgb="FFB7B1A8"/>
      </x:bottom>
    </x:border>
    <x:border>
      <x:right style="thin">
        <x:color rgb="FFB7B1A8"/>
      </x:right>
      <x:bottom style="thin">
        <x:color rgb="FFB7B1A8"/>
      </x:bottom>
    </x:border>
    <x:border>
      <x:right style="thin">
        <x:color rgb="FFD7D0C4"/>
      </x:right>
      <x:top style="thin">
        <x:color rgb="FFD7D0C4"/>
      </x:top>
      <x:bottom style="thin">
        <x:color rgb="FFD7D0C4"/>
      </x:bottom>
    </x:border>
    <x:border>
      <x:left style="thin">
        <x:color rgb="FFD7D0C4"/>
      </x:left>
      <x:right style="thin">
        <x:color rgb="FFD7D0C4"/>
      </x:right>
      <x:top style="thin">
        <x:color rgb="FFD7D0C4"/>
      </x:top>
      <x:bottom style="thin">
        <x:color rgb="FFD7D0C4"/>
      </x:bottom>
    </x:border>
    <x:border>
      <x:left style="thin">
        <x:color rgb="FFD7D0C4"/>
      </x:left>
      <x:top style="thin">
        <x:color rgb="FFD7D0C4"/>
      </x:top>
      <x:bottom style="thin">
        <x:color rgb="FFD7D0C4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3" fillId="0" borderId="9" xfId="0" applyNumberFormat="1" applyFont="1" applyFill="1" applyBorder="1"/>
    <x:xf numFmtId="202" fontId="0" fillId="0" borderId="10" xfId="0" applyNumberFormat="1" applyFont="1" applyFill="1" applyBorder="1"/>
    <x:xf numFmtId="0" fontId="3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99792237d4c06" /><Relationship Type="http://schemas.openxmlformats.org/officeDocument/2006/relationships/theme" Target="/xl/theme/theme1.xml" Id="R22c334032b88426c" /><Relationship Type="http://schemas.openxmlformats.org/officeDocument/2006/relationships/sharedStrings" Target="/xl/sharedStrings.xml" Id="R76c6aa70c1674ee5" /><Relationship Type="http://schemas.openxmlformats.org/officeDocument/2006/relationships/worksheet" Target="/xl/worksheets/sheet1.xml" Id="Rcc8356dc428e4868" /><Relationship Type="http://schemas.openxmlformats.org/officeDocument/2006/relationships/worksheet" Target="/xl/worksheets/sheet2.xml" Id="R5d62f59b99c74941" /><Relationship Type="http://schemas.openxmlformats.org/officeDocument/2006/relationships/worksheet" Target="/xl/worksheets/sheet3.xml" Id="R4bd5a11b045a45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d39ce6f6b34d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ACOS by seven-day window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'Analysis'!$A$4:$A$5</c:f>
              <c:strCache>
                <c:ptCount val="0"/>
              </c:strCache>
            </c:strRef>
          </c:cat>
          <c:val>
            <c:numRef>
              <c:f>'Analysis'!$B$4:$B$5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d39ce6f6b34d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7aa34a6701145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20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6" customHeight="1">
      <x:c r="A1" s="3" t="str">
        <x:v>Window</x:v>
      </x:c>
      <x:c r="B1" s="3" t="str">
        <x:v>Start</x:v>
      </x:c>
      <x:c r="C1" s="3" t="str">
        <x:v>End</x:v>
      </x:c>
      <x:c r="D1" s="3" t="str">
        <x:v>Spend (USD)</x:v>
      </x:c>
      <x:c r="E1" s="3" t="str">
        <x:v>Attributed Sales (USD)</x:v>
      </x:c>
      <x:c r="F1" s="3" t="str">
        <x:v>Clicks</x:v>
      </x:c>
      <x:c r="G1" s="3" t="str">
        <x:v>Orders</x:v>
      </x:c>
      <x:c r="H1" s="3" t="str">
        <x:v>CPC</x:v>
      </x:c>
      <x:c r="I1" s="3" t="str">
        <x:v>CVR</x:v>
      </x:c>
      <x:c r="J1" s="3" t="str">
        <x:v>ACOS</x:v>
      </x:c>
    </x:row>
    <x:row r="2" ht="26" customHeight="1">
      <x:c r="A2" s="4" t="str">
        <x:v>Previous 7d</x:v>
      </x:c>
      <x:c r="B2" s="10" t="n">
        <x:v>46222</x:v>
      </x:c>
      <x:c r="C2" s="10" t="n">
        <x:v>46228</x:v>
      </x:c>
      <x:c r="D2" s="12" t="n">
        <x:v>284</x:v>
      </x:c>
      <x:c r="E2" s="12" t="n">
        <x:v>1000</x:v>
      </x:c>
      <x:c r="F2" s="5"/>
      <x:c r="G2" s="5"/>
      <x:c r="H2" s="14"/>
      <x:c r="I2" s="14"/>
      <x:c r="J2" s="15" t="n">
        <x:f>D2/E2</x:f>
        <x:v>0.284</x:v>
      </x:c>
    </x:row>
    <x:row r="3" ht="26" customHeight="1">
      <x:c r="A3" s="7" t="str">
        <x:v>Latest 7d</x:v>
      </x:c>
      <x:c r="B3" s="11" t="n">
        <x:v>46229</x:v>
      </x:c>
      <x:c r="C3" s="11" t="n">
        <x:v>46235</x:v>
      </x:c>
      <x:c r="D3" s="13" t="n">
        <x:v>369</x:v>
      </x:c>
      <x:c r="E3" s="13" t="n">
        <x:v>1000</x:v>
      </x:c>
      <x:c r="F3" s="8"/>
      <x:c r="G3" s="8"/>
      <x:c r="H3" s="16"/>
      <x:c r="I3" s="16"/>
      <x:c r="J3" s="17" t="n">
        <x:f>D3/E3</x:f>
        <x:v>0.369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</x:cols>
  <x:sheetData>
    <x:row r="1" ht="36" customHeight="1">
      <x:c r="A1" s="19" t="str">
        <x:v>Amazon Ads synthetic diagnostic summary</x:v>
      </x:c>
      <x:c r="B1" s="19"/>
      <x:c r="C1" s="19"/>
      <x:c r="D1" s="19"/>
      <x:c r="E1" s="19"/>
      <x:c r="F1" s="19"/>
      <x:c r="G1" s="19"/>
      <x:c r="H1" s="19"/>
    </x:row>
    <x:row r="3">
      <x:c r="A3" s="22" t="str">
        <x:v>Metric</x:v>
      </x:c>
      <x:c r="B3" s="23" t="str">
        <x:v>Value</x:v>
      </x:c>
    </x:row>
    <x:row r="4">
      <x:c r="A4" s="24" t="str">
        <x:v>Previous ACOS</x:v>
      </x:c>
      <x:c r="B4" s="25" t="n">
        <x:f>'Source Data'!J2</x:f>
        <x:v>0.284</x:v>
      </x:c>
    </x:row>
    <x:row r="5">
      <x:c r="A5" s="24" t="str">
        <x:v>Latest ACOS</x:v>
      </x:c>
      <x:c r="B5" s="25" t="n">
        <x:f>'Source Data'!J3</x:f>
        <x:v>0.369</x:v>
      </x:c>
    </x:row>
    <x:row r="6">
      <x:c r="A6" s="24" t="str">
        <x:v>Change</x:v>
      </x:c>
      <x:c r="B6" s="25" t="n">
        <x:f>B5-B4</x:f>
        <x:v>0.08500000000000002</x:v>
      </x:c>
    </x:row>
    <x:row r="7">
      <x:c r="A7" s="26" t="str">
        <x:v>Decision state</x:v>
      </x:c>
      <x:c r="B7" s="27" t="str">
        <x:v>Evidence request required</x:v>
      </x:c>
    </x:row>
    <x:row r="9" ht="30" customHeight="1">
      <x:c r="A9" s="30" t="str">
        <x:v>CPC, CVR, price and availability are intentionally absent. No bid or budget action may be selected.</x:v>
      </x:c>
      <x:c r="B9" s="30"/>
      <x:c r="C9" s="30"/>
      <x:c r="D9" s="30"/>
      <x:c r="E9" s="30"/>
      <x:c r="F9" s="30"/>
      <x:c r="G9" s="30"/>
      <x:c r="H9" s="30"/>
    </x:row>
    <x:row r="10" ht="30" customHeight="1">
      <x:c r="A10" s="30"/>
      <x:c r="B10" s="30"/>
      <x:c r="C10" s="30"/>
      <x:c r="D10" s="30"/>
      <x:c r="E10" s="30"/>
      <x:c r="F10" s="30"/>
      <x:c r="G10" s="30"/>
      <x:c r="H10" s="30"/>
    </x:row>
  </x:sheetData>
  <x:mergeCells>
    <x:mergeCell ref="A1:H1"/>
    <x:mergeCell ref="A9:H10"/>
  </x:mergeCells>
  <x:pageMargins left="0.7" right="0.7" top="0.75" bottom="0.75" header="0.3" footer="0.3"/>
  <x:drawing xmlns:r="http://schemas.openxmlformats.org/officeDocument/2006/relationships" r:id="R77aa34a6701145b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14" hidden="0" customWidth="1"/>
    <x:col min="4" max="4" width="38" hidden="0" customWidth="1"/>
  </x:cols>
  <x:sheetData>
    <x:row r="1" ht="34" customHeight="1">
      <x:c r="A1" s="3" t="str">
        <x:v>Term</x:v>
      </x:c>
      <x:c r="B1" s="3" t="str">
        <x:v>Definition</x:v>
      </x:c>
      <x:c r="C1" s="3" t="str">
        <x:v>Unit</x:v>
      </x:c>
      <x:c r="D1" s="3" t="str">
        <x:v>Boundary</x:v>
      </x:c>
    </x:row>
    <x:row r="2" ht="34" customHeight="1">
      <x:c r="A2" s="34" t="str">
        <x:v>ACOS</x:v>
      </x:c>
      <x:c r="B2" s="35" t="str">
        <x:v>Ad spend divided by attributed sales for the same reporting and attribution window.</x:v>
      </x:c>
      <x:c r="C2" s="35" t="str">
        <x:v>%</x:v>
      </x:c>
      <x:c r="D2" s="36" t="str">
        <x:v>Block when sales is zero or windows differ.</x:v>
      </x:c>
    </x:row>
    <x:row r="3" ht="34" customHeight="1">
      <x:c r="A3" s="37" t="str">
        <x:v>CPC</x:v>
      </x:c>
      <x:c r="B3" s="38" t="str">
        <x:v>Ad spend divided by clicks.</x:v>
      </x:c>
      <x:c r="C3" s="38" t="str">
        <x:v>USD/click</x:v>
      </x:c>
      <x:c r="D3" s="39" t="str">
        <x:v>Intentionally missing in this fixture.</x:v>
      </x:c>
    </x:row>
    <x:row r="4" ht="34" customHeight="1">
      <x:c r="A4" s="37" t="str">
        <x:v>CVR</x:v>
      </x:c>
      <x:c r="B4" s="38" t="str">
        <x:v>Orders divided by clicks.</x:v>
      </x:c>
      <x:c r="C4" s="38" t="str">
        <x:v>%</x:v>
      </x:c>
      <x:c r="D4" s="39" t="str">
        <x:v>Intentionally missing in this fixture.</x:v>
      </x:c>
    </x:row>
    <x:row r="5" ht="34" customHeight="1">
      <x:c r="A5" s="40" t="str">
        <x:v>Data class</x:v>
      </x:c>
      <x:c r="B5" s="41" t="str">
        <x:v>Project-authored synthetic data.</x:v>
      </x:c>
      <x:c r="C5" s="41" t="str">
        <x:v>n/a</x:v>
      </x:c>
      <x:c r="D5" s="42" t="str">
        <x:v>Not customer or platform evidence.</x:v>
      </x:c>
    </x:row>
  </x:sheetData>
  <x:pageMargins left="0.7" right="0.7" top="0.75" bottom="0.75" header="0.3" footer="0.3"/>
</x:worksheet>
</file>